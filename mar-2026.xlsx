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-gastos" sheetId="1" r:id="rId5"/>
  </sheets>
  <definedNames>
    <definedName name="CAL_DOL">LAMBDA(IF('control-gastos'!$D$17="", "", 'control-gastos'!$D$17/#REF!))</definedName>
  </definedNames>
  <calcPr/>
</workbook>
</file>

<file path=xl/sharedStrings.xml><?xml version="1.0" encoding="utf-8"?>
<sst xmlns="http://schemas.openxmlformats.org/spreadsheetml/2006/main" count="23" uniqueCount="22">
  <si>
    <t xml:space="preserve"> Fecha </t>
  </si>
  <si>
    <t>Descripción de gasto / Fuente de Ingreso</t>
  </si>
  <si>
    <t xml:space="preserve"> INGRESO</t>
  </si>
  <si>
    <t>AHORROS / INVERSIONES</t>
  </si>
  <si>
    <t>IMPUESTOS /
COMISIONES</t>
  </si>
  <si>
    <t xml:space="preserve"> CACHEA  / DEUDAS</t>
  </si>
  <si>
    <t>SUSCRIPCIONES / SERVICIOS</t>
  </si>
  <si>
    <t>DONACIONES / REGALOS</t>
  </si>
  <si>
    <t>ALIMENTOS</t>
  </si>
  <si>
    <t xml:space="preserve"> TRANSPORTE</t>
  </si>
  <si>
    <t xml:space="preserve">SALUD </t>
  </si>
  <si>
    <t xml:space="preserve"> EDUCACIÓN </t>
  </si>
  <si>
    <t xml:space="preserve"> PERSONAL </t>
  </si>
  <si>
    <t xml:space="preserve"> ENTRETENIMIENTO /
VACACIONES</t>
  </si>
  <si>
    <t>OTROS / IMPREVISTOS</t>
  </si>
  <si>
    <t xml:space="preserve"> GASTOS (BS)</t>
  </si>
  <si>
    <t>GASTOS ($)</t>
  </si>
  <si>
    <t>TASA BCV</t>
  </si>
  <si>
    <t>total</t>
  </si>
  <si>
    <t>Arancel de inscripcion / Almuerzo</t>
  </si>
  <si>
    <t>Almuerzo</t>
  </si>
  <si>
    <t xml:space="preserve">TOTAL de este mes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</si>
</sst>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_(&quot;$&quot;* #,##0_);_(&quot;$&quot;* \(#,##0\);_(&quot;$&quot;* &quot;-&quot;??_);_(@_)"/>
    <numFmt numFmtId="165" formatCode="dd/mm/yyyy"/>
    <numFmt numFmtId="166" formatCode="[$Bs]#,##0.00"/>
    <numFmt numFmtId="167" formatCode="[$$]#,##0.00"/>
    <numFmt numFmtId="168" formatCode="_ [$$-340A]* #,##0.00_ ;_ [$$-340A]* \-#,##0.00_ ;_ [$$-340A]* &quot;-&quot;??_ ;_ @_ "/>
  </numFmts>
  <fonts count="24">
    <font>
      <sz val="10.0"/>
      <color rgb="FF000000"/>
      <name val="Arial"/>
      <scheme val="minor"/>
    </font>
    <font>
      <b/>
      <sz val="12.0"/>
      <color theme="1"/>
      <name val="Nunito"/>
    </font>
    <font>
      <b/>
      <sz val="13.0"/>
      <color theme="1"/>
      <name val="Nunito"/>
    </font>
    <font>
      <b/>
      <sz val="11.0"/>
      <color rgb="FFBF9000"/>
      <name val="Lato"/>
    </font>
    <font>
      <b/>
      <sz val="11.0"/>
      <color rgb="FF4A86E8"/>
      <name val="Calibri"/>
    </font>
    <font>
      <b/>
      <sz val="11.0"/>
      <color rgb="FF6AA84F"/>
      <name val="Calibri"/>
    </font>
    <font>
      <b/>
      <sz val="11.0"/>
      <color rgb="FF3D85C6"/>
      <name val="Calibri"/>
    </font>
    <font>
      <b/>
      <sz val="11.0"/>
      <color rgb="FFCC0000"/>
      <name val="Calibri"/>
    </font>
    <font>
      <b/>
      <sz val="11.0"/>
      <color rgb="FF3C78D8"/>
      <name val="Calibri"/>
    </font>
    <font>
      <b/>
      <sz val="11.0"/>
      <color rgb="FF46BDC6"/>
      <name val="Calibri"/>
    </font>
    <font>
      <b/>
      <sz val="11.0"/>
      <color rgb="FFE69138"/>
      <name val="Calibri"/>
    </font>
    <font>
      <b/>
      <sz val="11.0"/>
      <color rgb="FF9900FF"/>
      <name val="Calibri"/>
    </font>
    <font>
      <b/>
      <sz val="11.0"/>
      <color rgb="FFFF005F"/>
      <name val="Calibri"/>
    </font>
    <font>
      <b/>
      <sz val="12.0"/>
      <color rgb="FFCC4125"/>
      <name val="Lato"/>
    </font>
    <font>
      <b/>
      <sz val="12.0"/>
      <color rgb="FFFF9900"/>
      <name val="Lato"/>
    </font>
    <font>
      <b/>
      <color rgb="FF3C78D8"/>
      <name val="Arial"/>
      <scheme val="minor"/>
    </font>
    <font>
      <b/>
      <sz val="11.0"/>
      <color theme="9"/>
      <name val="Calibri"/>
    </font>
    <font>
      <b/>
      <color rgb="FF6AA84F"/>
      <name val="Arial"/>
      <scheme val="minor"/>
    </font>
    <font>
      <b/>
      <color rgb="FF3D85C6"/>
      <name val="Arial"/>
      <scheme val="minor"/>
    </font>
    <font>
      <b/>
      <color rgb="FFCC0000"/>
      <name val="Arial"/>
      <scheme val="minor"/>
    </font>
    <font>
      <b/>
      <sz val="12.0"/>
      <color theme="1"/>
      <name val="Lato"/>
    </font>
    <font/>
    <font>
      <b/>
      <sz val="12.0"/>
      <color rgb="FF6AA84F"/>
      <name val="Lato"/>
    </font>
    <font>
      <b/>
      <sz val="12.0"/>
      <color rgb="FFCC0000"/>
      <name val="Lato"/>
    </font>
  </fonts>
  <fills count="7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</fills>
  <borders count="13">
    <border/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medium">
        <color rgb="FFB7B7B7"/>
      </left>
      <top style="medium">
        <color rgb="FFB7B7B7"/>
      </top>
      <bottom style="medium">
        <color rgb="FFB7B7B7"/>
      </bottom>
    </border>
    <border>
      <left style="thick">
        <color rgb="FF999999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medium">
        <color rgb="FFB7B7B7"/>
      </right>
      <top style="medium">
        <color rgb="FFB7B7B7"/>
      </top>
    </border>
    <border>
      <left style="thick">
        <color rgb="FF999999"/>
      </left>
      <right style="thick">
        <color rgb="FFCCCCCC"/>
      </right>
      <top style="thick">
        <color rgb="FFCCCCCC"/>
      </top>
      <bottom style="thick">
        <color rgb="FFCCCCCC"/>
      </bottom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</border>
    <border>
      <left style="medium">
        <color rgb="FFB7B7B7"/>
      </left>
      <top style="medium">
        <color rgb="FFB7B7B7"/>
      </top>
    </border>
    <border>
      <right style="medium">
        <color rgb="FFB7B7B7"/>
      </right>
      <top style="medium">
        <color rgb="FFB7B7B7"/>
      </top>
    </border>
    <border>
      <left style="medium">
        <color rgb="FFB7B7B7"/>
      </left>
      <right style="medium">
        <color rgb="FFB7B7B7"/>
      </right>
      <bottom style="medium">
        <color rgb="FFB7B7B7"/>
      </bottom>
    </border>
    <border>
      <left style="medium">
        <color rgb="FFB7B7B7"/>
      </left>
      <bottom style="medium">
        <color rgb="FFB7B7B7"/>
      </bottom>
    </border>
    <border>
      <right style="medium">
        <color rgb="FFB7B7B7"/>
      </right>
      <bottom style="medium">
        <color rgb="FFB7B7B7"/>
      </bottom>
    </border>
    <border>
      <right style="medium">
        <color rgb="FFB7B7B7"/>
      </right>
      <top style="medium">
        <color rgb="FFB7B7B7"/>
      </top>
      <bottom style="medium">
        <color rgb="FFB7B7B7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shrinkToFit="0" vertical="center" wrapText="1"/>
    </xf>
    <xf borderId="1" fillId="2" fontId="1" numFmtId="164" xfId="0" applyAlignment="1" applyBorder="1" applyFont="1" applyNumberFormat="1">
      <alignment horizontal="center" readingOrder="0" shrinkToFit="0" vertical="center" wrapText="1"/>
    </xf>
    <xf borderId="1" fillId="2" fontId="2" numFmtId="164" xfId="0" applyAlignment="1" applyBorder="1" applyFont="1" applyNumberFormat="1">
      <alignment horizontal="center" readingOrder="0" shrinkToFit="0" vertical="center" wrapText="1"/>
    </xf>
    <xf borderId="2" fillId="2" fontId="1" numFmtId="164" xfId="0" applyAlignment="1" applyBorder="1" applyFont="1" applyNumberFormat="1">
      <alignment horizontal="center" readingOrder="0" shrinkToFit="0" vertical="center" wrapText="1"/>
    </xf>
    <xf borderId="3" fillId="2" fontId="1" numFmtId="164" xfId="0" applyAlignment="1" applyBorder="1" applyFont="1" applyNumberFormat="1">
      <alignment horizontal="center" readingOrder="0" shrinkToFit="0" vertical="center" wrapText="1"/>
    </xf>
    <xf borderId="4" fillId="2" fontId="1" numFmtId="164" xfId="0" applyAlignment="1" applyBorder="1" applyFont="1" applyNumberFormat="1">
      <alignment horizontal="center" readingOrder="0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1" fillId="3" fontId="3" numFmtId="165" xfId="0" applyAlignment="1" applyBorder="1" applyFill="1" applyFont="1" applyNumberFormat="1">
      <alignment horizontal="center" readingOrder="0" vertical="center"/>
    </xf>
    <xf borderId="1" fillId="4" fontId="4" numFmtId="0" xfId="0" applyAlignment="1" applyBorder="1" applyFill="1" applyFont="1">
      <alignment horizontal="left" readingOrder="0" shrinkToFit="0" vertical="center" wrapText="1"/>
    </xf>
    <xf borderId="1" fillId="4" fontId="5" numFmtId="166" xfId="0" applyAlignment="1" applyBorder="1" applyFont="1" applyNumberFormat="1">
      <alignment horizontal="center" readingOrder="0" vertical="center"/>
    </xf>
    <xf borderId="1" fillId="4" fontId="6" numFmtId="166" xfId="0" applyAlignment="1" applyBorder="1" applyFont="1" applyNumberFormat="1">
      <alignment horizontal="center" readingOrder="0" vertical="center"/>
    </xf>
    <xf borderId="1" fillId="4" fontId="7" numFmtId="166" xfId="0" applyAlignment="1" applyBorder="1" applyFont="1" applyNumberFormat="1">
      <alignment horizontal="center" readingOrder="0" vertical="center"/>
    </xf>
    <xf borderId="1" fillId="4" fontId="8" numFmtId="166" xfId="0" applyAlignment="1" applyBorder="1" applyFont="1" applyNumberFormat="1">
      <alignment horizontal="center" readingOrder="0" vertical="center"/>
    </xf>
    <xf borderId="1" fillId="4" fontId="9" numFmtId="166" xfId="0" applyAlignment="1" applyBorder="1" applyFont="1" applyNumberFormat="1">
      <alignment horizontal="center" readingOrder="0" vertical="center"/>
    </xf>
    <xf borderId="1" fillId="4" fontId="10" numFmtId="166" xfId="0" applyAlignment="1" applyBorder="1" applyFont="1" applyNumberFormat="1">
      <alignment horizontal="center" readingOrder="0" vertical="center"/>
    </xf>
    <xf borderId="1" fillId="4" fontId="11" numFmtId="166" xfId="0" applyAlignment="1" applyBorder="1" applyFont="1" applyNumberFormat="1">
      <alignment horizontal="center" readingOrder="0" vertical="center"/>
    </xf>
    <xf borderId="2" fillId="4" fontId="12" numFmtId="166" xfId="0" applyAlignment="1" applyBorder="1" applyFont="1" applyNumberFormat="1">
      <alignment horizontal="center" readingOrder="0" vertical="center"/>
    </xf>
    <xf borderId="5" fillId="4" fontId="13" numFmtId="166" xfId="0" applyAlignment="1" applyBorder="1" applyFont="1" applyNumberFormat="1">
      <alignment horizontal="center" vertical="center"/>
    </xf>
    <xf borderId="6" fillId="4" fontId="13" numFmtId="167" xfId="0" applyAlignment="1" applyBorder="1" applyFont="1" applyNumberFormat="1">
      <alignment horizontal="center" readingOrder="0" vertical="center"/>
    </xf>
    <xf borderId="6" fillId="4" fontId="14" numFmtId="166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5" numFmtId="166" xfId="0" applyAlignment="1" applyBorder="1" applyFont="1" applyNumberFormat="1">
      <alignment horizontal="center" readingOrder="0" vertical="center"/>
    </xf>
    <xf borderId="1" fillId="0" fontId="6" numFmtId="166" xfId="0" applyAlignment="1" applyBorder="1" applyFont="1" applyNumberFormat="1">
      <alignment horizontal="center" readingOrder="0" vertical="center"/>
    </xf>
    <xf borderId="1" fillId="0" fontId="7" numFmtId="166" xfId="0" applyAlignment="1" applyBorder="1" applyFont="1" applyNumberFormat="1">
      <alignment horizontal="center" readingOrder="0" vertical="center"/>
    </xf>
    <xf borderId="0" fillId="0" fontId="15" numFmtId="166" xfId="0" applyFont="1" applyNumberFormat="1"/>
    <xf borderId="1" fillId="0" fontId="16" numFmtId="166" xfId="0" applyAlignment="1" applyBorder="1" applyFont="1" applyNumberFormat="1">
      <alignment horizontal="center" readingOrder="0" vertical="center"/>
    </xf>
    <xf borderId="1" fillId="0" fontId="10" numFmtId="166" xfId="0" applyAlignment="1" applyBorder="1" applyFont="1" applyNumberFormat="1">
      <alignment horizontal="center" readingOrder="0" vertical="center"/>
    </xf>
    <xf borderId="1" fillId="0" fontId="11" numFmtId="166" xfId="0" applyAlignment="1" applyBorder="1" applyFont="1" applyNumberFormat="1">
      <alignment horizontal="center" readingOrder="0" vertical="center"/>
    </xf>
    <xf borderId="2" fillId="0" fontId="12" numFmtId="166" xfId="0" applyAlignment="1" applyBorder="1" applyFont="1" applyNumberFormat="1">
      <alignment horizontal="center" readingOrder="0" vertical="center"/>
    </xf>
    <xf borderId="5" fillId="5" fontId="13" numFmtId="166" xfId="0" applyAlignment="1" applyBorder="1" applyFill="1" applyFont="1" applyNumberFormat="1">
      <alignment horizontal="center" vertical="center"/>
    </xf>
    <xf borderId="6" fillId="5" fontId="13" numFmtId="167" xfId="0" applyAlignment="1" applyBorder="1" applyFont="1" applyNumberFormat="1">
      <alignment horizontal="center" readingOrder="0" vertical="center"/>
    </xf>
    <xf borderId="6" fillId="5" fontId="14" numFmtId="166" xfId="0" applyAlignment="1" applyBorder="1" applyFont="1" applyNumberFormat="1">
      <alignment horizontal="center" readingOrder="0" vertical="center"/>
    </xf>
    <xf borderId="1" fillId="0" fontId="8" numFmtId="166" xfId="0" applyAlignment="1" applyBorder="1" applyFont="1" applyNumberFormat="1">
      <alignment horizontal="center" readingOrder="0" vertical="center"/>
    </xf>
    <xf borderId="1" fillId="0" fontId="9" numFmtId="166" xfId="0" applyAlignment="1" applyBorder="1" applyFont="1" applyNumberFormat="1">
      <alignment horizontal="center" readingOrder="0" vertical="center"/>
    </xf>
    <xf borderId="1" fillId="5" fontId="10" numFmtId="166" xfId="0" applyAlignment="1" applyBorder="1" applyFont="1" applyNumberFormat="1">
      <alignment horizontal="center" readingOrder="0" vertical="center"/>
    </xf>
    <xf borderId="2" fillId="5" fontId="12" numFmtId="166" xfId="0" applyAlignment="1" applyBorder="1" applyFont="1" applyNumberFormat="1">
      <alignment horizontal="center" readingOrder="0" vertical="center"/>
    </xf>
    <xf borderId="1" fillId="4" fontId="4" numFmtId="0" xfId="0" applyAlignment="1" applyBorder="1" applyFont="1">
      <alignment horizontal="left" shrinkToFit="0" vertical="center" wrapText="1"/>
    </xf>
    <xf borderId="1" fillId="4" fontId="16" numFmtId="166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left" shrinkToFit="0" vertical="center" wrapText="1"/>
    </xf>
    <xf borderId="1" fillId="0" fontId="17" numFmtId="166" xfId="0" applyAlignment="1" applyBorder="1" applyFont="1" applyNumberFormat="1">
      <alignment horizontal="center" readingOrder="0" vertical="center"/>
    </xf>
    <xf borderId="1" fillId="0" fontId="18" numFmtId="166" xfId="0" applyAlignment="1" applyBorder="1" applyFont="1" applyNumberFormat="1">
      <alignment horizontal="center" vertical="center"/>
    </xf>
    <xf borderId="1" fillId="0" fontId="19" numFmtId="166" xfId="0" applyAlignment="1" applyBorder="1" applyFont="1" applyNumberFormat="1">
      <alignment horizontal="center" vertical="center"/>
    </xf>
    <xf borderId="1" fillId="0" fontId="7" numFmtId="166" xfId="0" applyAlignment="1" applyBorder="1" applyFont="1" applyNumberFormat="1">
      <alignment horizontal="center" vertical="center"/>
    </xf>
    <xf borderId="1" fillId="0" fontId="8" numFmtId="166" xfId="0" applyAlignment="1" applyBorder="1" applyFont="1" applyNumberFormat="1">
      <alignment horizontal="center" vertical="center"/>
    </xf>
    <xf borderId="1" fillId="0" fontId="16" numFmtId="166" xfId="0" applyAlignment="1" applyBorder="1" applyFont="1" applyNumberFormat="1">
      <alignment horizontal="center" vertical="center"/>
    </xf>
    <xf borderId="1" fillId="0" fontId="10" numFmtId="166" xfId="0" applyAlignment="1" applyBorder="1" applyFont="1" applyNumberFormat="1">
      <alignment horizontal="center" vertical="center"/>
    </xf>
    <xf borderId="1" fillId="0" fontId="11" numFmtId="166" xfId="0" applyAlignment="1" applyBorder="1" applyFont="1" applyNumberFormat="1">
      <alignment horizontal="center" vertical="center"/>
    </xf>
    <xf borderId="2" fillId="0" fontId="12" numFmtId="166" xfId="0" applyAlignment="1" applyBorder="1" applyFont="1" applyNumberFormat="1">
      <alignment horizontal="center" vertical="center"/>
    </xf>
    <xf borderId="1" fillId="0" fontId="5" numFmtId="166" xfId="0" applyAlignment="1" applyBorder="1" applyFont="1" applyNumberFormat="1">
      <alignment horizontal="center" vertical="center"/>
    </xf>
    <xf borderId="1" fillId="0" fontId="6" numFmtId="166" xfId="0" applyAlignment="1" applyBorder="1" applyFont="1" applyNumberFormat="1">
      <alignment horizontal="center" vertical="center"/>
    </xf>
    <xf borderId="1" fillId="0" fontId="4" numFmtId="168" xfId="0" applyAlignment="1" applyBorder="1" applyFont="1" applyNumberFormat="1">
      <alignment horizontal="left" shrinkToFit="0" vertical="center" wrapText="1"/>
    </xf>
    <xf borderId="7" fillId="0" fontId="20" numFmtId="0" xfId="0" applyAlignment="1" applyBorder="1" applyFont="1">
      <alignment horizontal="center" vertical="center"/>
    </xf>
    <xf borderId="8" fillId="0" fontId="21" numFmtId="0" xfId="0" applyBorder="1" applyFont="1"/>
    <xf borderId="1" fillId="6" fontId="22" numFmtId="166" xfId="0" applyAlignment="1" applyBorder="1" applyFill="1" applyFont="1" applyNumberFormat="1">
      <alignment horizontal="right" vertical="bottom"/>
    </xf>
    <xf borderId="1" fillId="6" fontId="20" numFmtId="166" xfId="0" applyAlignment="1" applyBorder="1" applyFont="1" applyNumberFormat="1">
      <alignment horizontal="center" vertical="bottom"/>
    </xf>
    <xf borderId="9" fillId="6" fontId="23" numFmtId="166" xfId="0" applyAlignment="1" applyBorder="1" applyFont="1" applyNumberFormat="1">
      <alignment horizontal="center" vertical="bottom"/>
    </xf>
    <xf borderId="9" fillId="6" fontId="23" numFmtId="167" xfId="0" applyAlignment="1" applyBorder="1" applyFont="1" applyNumberFormat="1">
      <alignment horizontal="center" readingOrder="0" vertical="center"/>
    </xf>
    <xf borderId="9" fillId="6" fontId="20" numFmtId="167" xfId="0" applyAlignment="1" applyBorder="1" applyFont="1" applyNumberFormat="1">
      <alignment horizontal="center" readingOrder="0" vertical="center"/>
    </xf>
    <xf borderId="10" fillId="0" fontId="21" numFmtId="0" xfId="0" applyBorder="1" applyFont="1"/>
    <xf borderId="11" fillId="0" fontId="21" numFmtId="0" xfId="0" applyBorder="1" applyFont="1"/>
    <xf borderId="2" fillId="5" fontId="22" numFmtId="167" xfId="0" applyAlignment="1" applyBorder="1" applyFont="1" applyNumberFormat="1">
      <alignment horizontal="right" vertical="bottom"/>
    </xf>
    <xf borderId="1" fillId="0" fontId="20" numFmtId="9" xfId="0" applyAlignment="1" applyBorder="1" applyFont="1" applyNumberFormat="1">
      <alignment horizontal="center" vertical="bottom"/>
    </xf>
    <xf borderId="2" fillId="0" fontId="23" numFmtId="9" xfId="0" applyAlignment="1" applyBorder="1" applyFont="1" applyNumberFormat="1">
      <alignment horizontal="center" vertical="bottom"/>
    </xf>
    <xf borderId="12" fillId="0" fontId="2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13"/>
    <col customWidth="1" min="2" max="2" width="25.25"/>
    <col customWidth="1" min="3" max="3" width="18.25"/>
    <col customWidth="1" min="4" max="4" width="15.63"/>
    <col customWidth="1" min="5" max="5" width="18.0"/>
    <col customWidth="1" min="6" max="6" width="14.88"/>
    <col customWidth="1" min="7" max="7" width="19.75"/>
    <col customWidth="1" min="8" max="8" width="16.63"/>
    <col customWidth="1" min="9" max="9" width="17.5"/>
    <col customWidth="1" min="10" max="10" width="16.0"/>
    <col customWidth="1" min="12" max="12" width="16.0"/>
    <col customWidth="1" min="13" max="13" width="13.63"/>
    <col customWidth="1" min="14" max="14" width="22.25"/>
    <col customWidth="1" min="15" max="15" width="15.63"/>
    <col customWidth="1" min="16" max="16" width="14.63"/>
  </cols>
  <sheetData>
    <row r="1" ht="42.0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2" t="s">
        <v>13</v>
      </c>
      <c r="O1" s="4" t="s">
        <v>14</v>
      </c>
      <c r="P1" s="5" t="s">
        <v>15</v>
      </c>
      <c r="Q1" s="6" t="s">
        <v>16</v>
      </c>
      <c r="R1" s="7" t="s">
        <v>17</v>
      </c>
    </row>
    <row r="2">
      <c r="A2" s="8">
        <v>46082.0</v>
      </c>
      <c r="B2" s="9" t="s">
        <v>18</v>
      </c>
      <c r="C2" s="10">
        <v>3700.0</v>
      </c>
      <c r="D2" s="11"/>
      <c r="E2" s="12"/>
      <c r="F2" s="12"/>
      <c r="G2" s="12"/>
      <c r="H2" s="13"/>
      <c r="I2" s="14"/>
      <c r="J2" s="15"/>
      <c r="K2" s="15"/>
      <c r="L2" s="16"/>
      <c r="M2" s="15"/>
      <c r="N2" s="15"/>
      <c r="O2" s="17"/>
      <c r="P2" s="18">
        <f t="shared" ref="P2:P3" si="1">SUM(D2:O2)</f>
        <v>0</v>
      </c>
      <c r="Q2" s="19"/>
      <c r="R2" s="20"/>
    </row>
    <row r="3">
      <c r="A3" s="21">
        <v>46083.0</v>
      </c>
      <c r="B3" s="22" t="s">
        <v>19</v>
      </c>
      <c r="C3" s="23"/>
      <c r="D3" s="24"/>
      <c r="E3" s="25"/>
      <c r="F3" s="25"/>
      <c r="G3" s="25"/>
      <c r="H3" s="26"/>
      <c r="I3" s="27">
        <v>450.0</v>
      </c>
      <c r="J3" s="28"/>
      <c r="K3" s="28"/>
      <c r="L3" s="29">
        <v>1000.0</v>
      </c>
      <c r="M3" s="28"/>
      <c r="N3" s="28"/>
      <c r="O3" s="30"/>
      <c r="P3" s="31">
        <f t="shared" si="1"/>
        <v>1450</v>
      </c>
      <c r="Q3" s="32">
        <v>3.441818569701567</v>
      </c>
      <c r="R3" s="33">
        <v>419.87</v>
      </c>
    </row>
    <row r="4">
      <c r="A4" s="8">
        <v>46084.0</v>
      </c>
      <c r="B4" s="9" t="s">
        <v>20</v>
      </c>
      <c r="C4" s="10"/>
      <c r="D4" s="11"/>
      <c r="E4" s="12"/>
      <c r="F4" s="12"/>
      <c r="G4" s="12"/>
      <c r="H4" s="13"/>
      <c r="I4" s="14">
        <v>450.0</v>
      </c>
      <c r="J4" s="15"/>
      <c r="K4" s="15"/>
      <c r="L4" s="16"/>
      <c r="M4" s="15"/>
      <c r="N4" s="15"/>
      <c r="O4" s="17"/>
      <c r="P4" s="18">
        <f>SUM(I4:O4)</f>
        <v>450</v>
      </c>
      <c r="Q4" s="19">
        <v>1.0666793087918078</v>
      </c>
      <c r="R4" s="20">
        <v>421.87</v>
      </c>
    </row>
    <row r="5">
      <c r="A5" s="21">
        <v>46085.0</v>
      </c>
      <c r="B5" s="22" t="s">
        <v>20</v>
      </c>
      <c r="C5" s="23"/>
      <c r="D5" s="24"/>
      <c r="E5" s="25"/>
      <c r="F5" s="25"/>
      <c r="G5" s="25"/>
      <c r="H5" s="34"/>
      <c r="I5" s="35">
        <v>450.0</v>
      </c>
      <c r="J5" s="28"/>
      <c r="K5" s="28"/>
      <c r="L5" s="29"/>
      <c r="M5" s="28"/>
      <c r="N5" s="36"/>
      <c r="O5" s="37"/>
      <c r="P5" s="31">
        <f t="shared" ref="P5:P32" si="2">SUM(D5:O5)</f>
        <v>450</v>
      </c>
      <c r="Q5" s="32">
        <v>1.0571569525688913</v>
      </c>
      <c r="R5" s="33">
        <v>425.67</v>
      </c>
    </row>
    <row r="6">
      <c r="A6" s="8">
        <v>46086.0</v>
      </c>
      <c r="B6" s="38"/>
      <c r="C6" s="10"/>
      <c r="D6" s="11"/>
      <c r="E6" s="12"/>
      <c r="F6" s="12"/>
      <c r="G6" s="12"/>
      <c r="H6" s="13"/>
      <c r="I6" s="39"/>
      <c r="J6" s="15"/>
      <c r="K6" s="15"/>
      <c r="L6" s="16"/>
      <c r="M6" s="15"/>
      <c r="N6" s="15"/>
      <c r="O6" s="17"/>
      <c r="P6" s="18">
        <f t="shared" si="2"/>
        <v>0</v>
      </c>
      <c r="Q6" s="19"/>
      <c r="R6" s="20"/>
    </row>
    <row r="7">
      <c r="A7" s="21">
        <v>46087.0</v>
      </c>
      <c r="B7" s="40"/>
      <c r="C7" s="23"/>
      <c r="D7" s="24"/>
      <c r="E7" s="25"/>
      <c r="F7" s="25"/>
      <c r="G7" s="25"/>
      <c r="H7" s="34"/>
      <c r="I7" s="27"/>
      <c r="J7" s="28"/>
      <c r="K7" s="28"/>
      <c r="L7" s="29"/>
      <c r="M7" s="28"/>
      <c r="N7" s="28"/>
      <c r="O7" s="30"/>
      <c r="P7" s="31">
        <f t="shared" si="2"/>
        <v>0</v>
      </c>
      <c r="Q7" s="32"/>
      <c r="R7" s="33"/>
    </row>
    <row r="8">
      <c r="A8" s="8">
        <v>46088.0</v>
      </c>
      <c r="B8" s="38"/>
      <c r="C8" s="10"/>
      <c r="D8" s="11"/>
      <c r="E8" s="12"/>
      <c r="F8" s="12"/>
      <c r="G8" s="12"/>
      <c r="H8" s="13"/>
      <c r="I8" s="39"/>
      <c r="J8" s="15"/>
      <c r="K8" s="15"/>
      <c r="L8" s="16"/>
      <c r="M8" s="15"/>
      <c r="N8" s="15"/>
      <c r="O8" s="17"/>
      <c r="P8" s="18">
        <f t="shared" si="2"/>
        <v>0</v>
      </c>
      <c r="Q8" s="19"/>
      <c r="R8" s="20"/>
    </row>
    <row r="9">
      <c r="A9" s="21">
        <v>46089.0</v>
      </c>
      <c r="B9" s="40"/>
      <c r="C9" s="23"/>
      <c r="D9" s="24"/>
      <c r="E9" s="25"/>
      <c r="F9" s="25"/>
      <c r="G9" s="25"/>
      <c r="H9" s="34"/>
      <c r="I9" s="27"/>
      <c r="J9" s="28"/>
      <c r="K9" s="28"/>
      <c r="L9" s="29"/>
      <c r="M9" s="28"/>
      <c r="N9" s="28"/>
      <c r="O9" s="30"/>
      <c r="P9" s="31">
        <f t="shared" si="2"/>
        <v>0</v>
      </c>
      <c r="Q9" s="32"/>
      <c r="R9" s="33"/>
    </row>
    <row r="10">
      <c r="A10" s="8">
        <v>46090.0</v>
      </c>
      <c r="B10" s="38"/>
      <c r="C10" s="10"/>
      <c r="D10" s="11"/>
      <c r="E10" s="12"/>
      <c r="F10" s="12"/>
      <c r="G10" s="12"/>
      <c r="H10" s="13"/>
      <c r="I10" s="39"/>
      <c r="J10" s="15"/>
      <c r="K10" s="15"/>
      <c r="L10" s="16"/>
      <c r="M10" s="15"/>
      <c r="N10" s="15"/>
      <c r="O10" s="17"/>
      <c r="P10" s="18">
        <f t="shared" si="2"/>
        <v>0</v>
      </c>
      <c r="Q10" s="19"/>
      <c r="R10" s="20"/>
    </row>
    <row r="11">
      <c r="A11" s="21">
        <v>46091.0</v>
      </c>
      <c r="B11" s="40"/>
      <c r="C11" s="23"/>
      <c r="D11" s="24"/>
      <c r="E11" s="25"/>
      <c r="F11" s="25"/>
      <c r="G11" s="25"/>
      <c r="H11" s="34"/>
      <c r="I11" s="27"/>
      <c r="J11" s="28"/>
      <c r="K11" s="28"/>
      <c r="L11" s="29"/>
      <c r="M11" s="28"/>
      <c r="N11" s="28"/>
      <c r="O11" s="30"/>
      <c r="P11" s="31">
        <f t="shared" si="2"/>
        <v>0</v>
      </c>
      <c r="Q11" s="32"/>
      <c r="R11" s="33"/>
    </row>
    <row r="12">
      <c r="A12" s="8">
        <v>46092.0</v>
      </c>
      <c r="B12" s="38"/>
      <c r="C12" s="10"/>
      <c r="D12" s="11"/>
      <c r="E12" s="12"/>
      <c r="F12" s="12"/>
      <c r="G12" s="12"/>
      <c r="H12" s="13"/>
      <c r="I12" s="39"/>
      <c r="J12" s="15"/>
      <c r="K12" s="15"/>
      <c r="L12" s="16"/>
      <c r="M12" s="15"/>
      <c r="N12" s="15"/>
      <c r="O12" s="17"/>
      <c r="P12" s="18">
        <f t="shared" si="2"/>
        <v>0</v>
      </c>
      <c r="Q12" s="19"/>
      <c r="R12" s="20"/>
    </row>
    <row r="13">
      <c r="A13" s="21">
        <v>46093.0</v>
      </c>
      <c r="B13" s="40"/>
      <c r="C13" s="23"/>
      <c r="D13" s="24"/>
      <c r="E13" s="25"/>
      <c r="F13" s="25"/>
      <c r="G13" s="25"/>
      <c r="H13" s="34"/>
      <c r="I13" s="27"/>
      <c r="J13" s="28"/>
      <c r="K13" s="28"/>
      <c r="L13" s="29"/>
      <c r="M13" s="28"/>
      <c r="N13" s="28"/>
      <c r="O13" s="30"/>
      <c r="P13" s="31">
        <f t="shared" si="2"/>
        <v>0</v>
      </c>
      <c r="Q13" s="32"/>
      <c r="R13" s="33"/>
    </row>
    <row r="14">
      <c r="A14" s="8">
        <v>46094.0</v>
      </c>
      <c r="B14" s="38"/>
      <c r="C14" s="10"/>
      <c r="D14" s="11"/>
      <c r="E14" s="12"/>
      <c r="F14" s="12"/>
      <c r="G14" s="12"/>
      <c r="H14" s="13"/>
      <c r="I14" s="39"/>
      <c r="J14" s="15"/>
      <c r="K14" s="15"/>
      <c r="L14" s="16"/>
      <c r="M14" s="15"/>
      <c r="N14" s="15"/>
      <c r="O14" s="17"/>
      <c r="P14" s="18">
        <f t="shared" si="2"/>
        <v>0</v>
      </c>
      <c r="Q14" s="19"/>
      <c r="R14" s="20"/>
    </row>
    <row r="15">
      <c r="A15" s="21">
        <v>46095.0</v>
      </c>
      <c r="B15" s="40"/>
      <c r="C15" s="23"/>
      <c r="D15" s="24"/>
      <c r="E15" s="25"/>
      <c r="F15" s="25"/>
      <c r="G15" s="25"/>
      <c r="H15" s="34"/>
      <c r="I15" s="27"/>
      <c r="J15" s="28"/>
      <c r="K15" s="28"/>
      <c r="L15" s="29"/>
      <c r="M15" s="28"/>
      <c r="N15" s="28"/>
      <c r="O15" s="30"/>
      <c r="P15" s="31">
        <f t="shared" si="2"/>
        <v>0</v>
      </c>
      <c r="Q15" s="32"/>
      <c r="R15" s="33"/>
    </row>
    <row r="16">
      <c r="A16" s="8">
        <v>46096.0</v>
      </c>
      <c r="B16" s="38"/>
      <c r="C16" s="10"/>
      <c r="D16" s="11"/>
      <c r="E16" s="12"/>
      <c r="F16" s="12"/>
      <c r="G16" s="12"/>
      <c r="H16" s="13"/>
      <c r="I16" s="39"/>
      <c r="J16" s="15"/>
      <c r="K16" s="15"/>
      <c r="L16" s="16"/>
      <c r="M16" s="15"/>
      <c r="N16" s="15"/>
      <c r="O16" s="17"/>
      <c r="P16" s="18">
        <f t="shared" si="2"/>
        <v>0</v>
      </c>
      <c r="Q16" s="19"/>
      <c r="R16" s="20"/>
    </row>
    <row r="17">
      <c r="A17" s="21">
        <v>46097.0</v>
      </c>
      <c r="B17" s="40"/>
      <c r="C17" s="41"/>
      <c r="D17" s="42"/>
      <c r="E17" s="43"/>
      <c r="F17" s="44"/>
      <c r="G17" s="44"/>
      <c r="H17" s="45"/>
      <c r="I17" s="46"/>
      <c r="J17" s="47"/>
      <c r="K17" s="47"/>
      <c r="L17" s="48"/>
      <c r="M17" s="47"/>
      <c r="N17" s="47"/>
      <c r="O17" s="49"/>
      <c r="P17" s="31">
        <f t="shared" si="2"/>
        <v>0</v>
      </c>
      <c r="Q17" s="32"/>
      <c r="R17" s="33"/>
    </row>
    <row r="18">
      <c r="A18" s="8">
        <v>46098.0</v>
      </c>
      <c r="B18" s="38"/>
      <c r="C18" s="10"/>
      <c r="D18" s="11"/>
      <c r="E18" s="12"/>
      <c r="F18" s="12"/>
      <c r="G18" s="12"/>
      <c r="H18" s="13"/>
      <c r="I18" s="39"/>
      <c r="J18" s="15"/>
      <c r="K18" s="15"/>
      <c r="L18" s="16"/>
      <c r="M18" s="15"/>
      <c r="N18" s="15"/>
      <c r="O18" s="17"/>
      <c r="P18" s="18">
        <f t="shared" si="2"/>
        <v>0</v>
      </c>
      <c r="Q18" s="19"/>
      <c r="R18" s="20"/>
    </row>
    <row r="19">
      <c r="A19" s="21">
        <v>46099.0</v>
      </c>
      <c r="B19" s="40"/>
      <c r="C19" s="50"/>
      <c r="D19" s="51"/>
      <c r="E19" s="44"/>
      <c r="F19" s="44"/>
      <c r="G19" s="44"/>
      <c r="H19" s="45"/>
      <c r="I19" s="46"/>
      <c r="J19" s="47"/>
      <c r="K19" s="47"/>
      <c r="L19" s="48"/>
      <c r="M19" s="47"/>
      <c r="N19" s="47"/>
      <c r="O19" s="49"/>
      <c r="P19" s="31">
        <f t="shared" si="2"/>
        <v>0</v>
      </c>
      <c r="Q19" s="32"/>
      <c r="R19" s="33"/>
    </row>
    <row r="20">
      <c r="A20" s="8">
        <v>46100.0</v>
      </c>
      <c r="B20" s="38"/>
      <c r="C20" s="10"/>
      <c r="D20" s="11"/>
      <c r="E20" s="12"/>
      <c r="F20" s="12"/>
      <c r="G20" s="12"/>
      <c r="H20" s="13"/>
      <c r="I20" s="39"/>
      <c r="J20" s="15"/>
      <c r="K20" s="15"/>
      <c r="L20" s="16"/>
      <c r="M20" s="15"/>
      <c r="N20" s="15"/>
      <c r="O20" s="17"/>
      <c r="P20" s="18">
        <f t="shared" si="2"/>
        <v>0</v>
      </c>
      <c r="Q20" s="19"/>
      <c r="R20" s="20"/>
    </row>
    <row r="21">
      <c r="A21" s="21">
        <v>46101.0</v>
      </c>
      <c r="B21" s="40"/>
      <c r="C21" s="50"/>
      <c r="D21" s="51"/>
      <c r="E21" s="44"/>
      <c r="F21" s="44"/>
      <c r="G21" s="44"/>
      <c r="H21" s="45"/>
      <c r="I21" s="46"/>
      <c r="J21" s="47"/>
      <c r="K21" s="47"/>
      <c r="L21" s="48"/>
      <c r="M21" s="47"/>
      <c r="N21" s="47"/>
      <c r="O21" s="49"/>
      <c r="P21" s="31">
        <f t="shared" si="2"/>
        <v>0</v>
      </c>
      <c r="Q21" s="32"/>
      <c r="R21" s="33"/>
    </row>
    <row r="22">
      <c r="A22" s="8">
        <v>46102.0</v>
      </c>
      <c r="B22" s="38"/>
      <c r="C22" s="10"/>
      <c r="D22" s="11"/>
      <c r="E22" s="12"/>
      <c r="F22" s="12"/>
      <c r="G22" s="12"/>
      <c r="H22" s="13"/>
      <c r="I22" s="39"/>
      <c r="J22" s="15"/>
      <c r="K22" s="15"/>
      <c r="L22" s="16"/>
      <c r="M22" s="15"/>
      <c r="N22" s="15"/>
      <c r="O22" s="17"/>
      <c r="P22" s="18">
        <f t="shared" si="2"/>
        <v>0</v>
      </c>
      <c r="Q22" s="19"/>
      <c r="R22" s="20"/>
    </row>
    <row r="23">
      <c r="A23" s="21">
        <v>46103.0</v>
      </c>
      <c r="B23" s="52"/>
      <c r="C23" s="50"/>
      <c r="D23" s="51"/>
      <c r="E23" s="44"/>
      <c r="F23" s="44"/>
      <c r="G23" s="44"/>
      <c r="H23" s="45"/>
      <c r="I23" s="46"/>
      <c r="J23" s="47"/>
      <c r="K23" s="47"/>
      <c r="L23" s="48"/>
      <c r="M23" s="47"/>
      <c r="N23" s="47"/>
      <c r="O23" s="49"/>
      <c r="P23" s="31">
        <f t="shared" si="2"/>
        <v>0</v>
      </c>
      <c r="Q23" s="32"/>
      <c r="R23" s="33"/>
    </row>
    <row r="24">
      <c r="A24" s="8">
        <v>46104.0</v>
      </c>
      <c r="B24" s="38"/>
      <c r="C24" s="10"/>
      <c r="D24" s="11"/>
      <c r="E24" s="12"/>
      <c r="F24" s="12"/>
      <c r="G24" s="12"/>
      <c r="H24" s="13"/>
      <c r="I24" s="39"/>
      <c r="J24" s="15"/>
      <c r="K24" s="15"/>
      <c r="L24" s="16"/>
      <c r="M24" s="15"/>
      <c r="N24" s="15"/>
      <c r="O24" s="17"/>
      <c r="P24" s="18">
        <f t="shared" si="2"/>
        <v>0</v>
      </c>
      <c r="Q24" s="19"/>
      <c r="R24" s="20"/>
    </row>
    <row r="25">
      <c r="A25" s="21">
        <v>46105.0</v>
      </c>
      <c r="B25" s="40"/>
      <c r="C25" s="50"/>
      <c r="D25" s="51"/>
      <c r="E25" s="44"/>
      <c r="F25" s="44"/>
      <c r="G25" s="44"/>
      <c r="H25" s="45"/>
      <c r="I25" s="46"/>
      <c r="J25" s="47"/>
      <c r="K25" s="47"/>
      <c r="L25" s="48"/>
      <c r="M25" s="47"/>
      <c r="N25" s="47"/>
      <c r="O25" s="49"/>
      <c r="P25" s="31">
        <f t="shared" si="2"/>
        <v>0</v>
      </c>
      <c r="Q25" s="32"/>
      <c r="R25" s="33"/>
    </row>
    <row r="26">
      <c r="A26" s="8">
        <v>46106.0</v>
      </c>
      <c r="B26" s="38"/>
      <c r="C26" s="10"/>
      <c r="D26" s="11"/>
      <c r="E26" s="12"/>
      <c r="F26" s="12"/>
      <c r="G26" s="12"/>
      <c r="H26" s="13"/>
      <c r="I26" s="39"/>
      <c r="J26" s="15"/>
      <c r="K26" s="15"/>
      <c r="L26" s="16"/>
      <c r="M26" s="15"/>
      <c r="N26" s="15"/>
      <c r="O26" s="17"/>
      <c r="P26" s="18">
        <f t="shared" si="2"/>
        <v>0</v>
      </c>
      <c r="Q26" s="19"/>
      <c r="R26" s="20"/>
    </row>
    <row r="27">
      <c r="A27" s="21">
        <v>46107.0</v>
      </c>
      <c r="B27" s="40"/>
      <c r="C27" s="23"/>
      <c r="D27" s="51"/>
      <c r="E27" s="44"/>
      <c r="F27" s="44"/>
      <c r="G27" s="44"/>
      <c r="H27" s="45"/>
      <c r="I27" s="46"/>
      <c r="J27" s="47"/>
      <c r="K27" s="47"/>
      <c r="L27" s="48"/>
      <c r="M27" s="47"/>
      <c r="N27" s="47"/>
      <c r="O27" s="49"/>
      <c r="P27" s="31">
        <f t="shared" si="2"/>
        <v>0</v>
      </c>
      <c r="Q27" s="32"/>
      <c r="R27" s="33"/>
    </row>
    <row r="28">
      <c r="A28" s="8">
        <v>46108.0</v>
      </c>
      <c r="B28" s="38"/>
      <c r="C28" s="10"/>
      <c r="D28" s="11"/>
      <c r="E28" s="12"/>
      <c r="F28" s="12"/>
      <c r="G28" s="12"/>
      <c r="H28" s="13"/>
      <c r="I28" s="39"/>
      <c r="J28" s="15"/>
      <c r="K28" s="15"/>
      <c r="L28" s="16"/>
      <c r="M28" s="15"/>
      <c r="N28" s="15"/>
      <c r="O28" s="17"/>
      <c r="P28" s="18">
        <f t="shared" si="2"/>
        <v>0</v>
      </c>
      <c r="Q28" s="19"/>
      <c r="R28" s="20"/>
    </row>
    <row r="29">
      <c r="A29" s="21">
        <v>46109.0</v>
      </c>
      <c r="B29" s="40"/>
      <c r="C29" s="23"/>
      <c r="D29" s="51"/>
      <c r="E29" s="25"/>
      <c r="F29" s="44"/>
      <c r="G29" s="44"/>
      <c r="H29" s="45"/>
      <c r="I29" s="46"/>
      <c r="J29" s="47"/>
      <c r="K29" s="47"/>
      <c r="L29" s="48"/>
      <c r="M29" s="47"/>
      <c r="N29" s="47"/>
      <c r="O29" s="49"/>
      <c r="P29" s="31">
        <f t="shared" si="2"/>
        <v>0</v>
      </c>
      <c r="Q29" s="32"/>
      <c r="R29" s="33"/>
    </row>
    <row r="30">
      <c r="A30" s="8">
        <v>46110.0</v>
      </c>
      <c r="B30" s="38"/>
      <c r="C30" s="10"/>
      <c r="D30" s="11"/>
      <c r="E30" s="12"/>
      <c r="F30" s="12"/>
      <c r="G30" s="12"/>
      <c r="H30" s="13"/>
      <c r="I30" s="39"/>
      <c r="J30" s="15"/>
      <c r="K30" s="15"/>
      <c r="L30" s="16"/>
      <c r="M30" s="15"/>
      <c r="N30" s="15"/>
      <c r="O30" s="17"/>
      <c r="P30" s="18">
        <f t="shared" si="2"/>
        <v>0</v>
      </c>
      <c r="Q30" s="19"/>
      <c r="R30" s="20"/>
    </row>
    <row r="31">
      <c r="A31" s="21">
        <v>46111.0</v>
      </c>
      <c r="B31" s="40"/>
      <c r="C31" s="50"/>
      <c r="D31" s="24"/>
      <c r="E31" s="44"/>
      <c r="F31" s="44"/>
      <c r="G31" s="44"/>
      <c r="H31" s="45"/>
      <c r="I31" s="46"/>
      <c r="J31" s="47"/>
      <c r="K31" s="47"/>
      <c r="L31" s="48"/>
      <c r="M31" s="47"/>
      <c r="N31" s="47"/>
      <c r="O31" s="49"/>
      <c r="P31" s="31">
        <f t="shared" si="2"/>
        <v>0</v>
      </c>
      <c r="Q31" s="32"/>
      <c r="R31" s="33"/>
    </row>
    <row r="32">
      <c r="A32" s="8">
        <v>46112.0</v>
      </c>
      <c r="B32" s="38"/>
      <c r="C32" s="10"/>
      <c r="D32" s="11"/>
      <c r="E32" s="12"/>
      <c r="F32" s="12"/>
      <c r="G32" s="12"/>
      <c r="H32" s="13"/>
      <c r="I32" s="39"/>
      <c r="J32" s="15"/>
      <c r="K32" s="15"/>
      <c r="L32" s="16"/>
      <c r="M32" s="15"/>
      <c r="N32" s="15"/>
      <c r="O32" s="17"/>
      <c r="P32" s="18">
        <f t="shared" si="2"/>
        <v>0</v>
      </c>
      <c r="Q32" s="19"/>
      <c r="R32" s="20"/>
    </row>
    <row r="33">
      <c r="A33" s="53" t="s">
        <v>21</v>
      </c>
      <c r="B33" s="54"/>
      <c r="C33" s="55">
        <f t="shared" ref="C33:Q33" si="3">SUM(C2:C32)</f>
        <v>3700</v>
      </c>
      <c r="D33" s="56">
        <f t="shared" si="3"/>
        <v>0</v>
      </c>
      <c r="E33" s="56">
        <f t="shared" si="3"/>
        <v>0</v>
      </c>
      <c r="F33" s="56">
        <f t="shared" si="3"/>
        <v>0</v>
      </c>
      <c r="G33" s="56">
        <f t="shared" si="3"/>
        <v>0</v>
      </c>
      <c r="H33" s="56">
        <f t="shared" si="3"/>
        <v>0</v>
      </c>
      <c r="I33" s="56">
        <f t="shared" si="3"/>
        <v>1350</v>
      </c>
      <c r="J33" s="56">
        <f t="shared" si="3"/>
        <v>0</v>
      </c>
      <c r="K33" s="56">
        <f t="shared" si="3"/>
        <v>0</v>
      </c>
      <c r="L33" s="56">
        <f t="shared" si="3"/>
        <v>1000</v>
      </c>
      <c r="M33" s="56">
        <f t="shared" si="3"/>
        <v>0</v>
      </c>
      <c r="N33" s="56">
        <f t="shared" si="3"/>
        <v>0</v>
      </c>
      <c r="O33" s="56">
        <f t="shared" si="3"/>
        <v>0</v>
      </c>
      <c r="P33" s="57">
        <f t="shared" si="3"/>
        <v>2350</v>
      </c>
      <c r="Q33" s="58">
        <f t="shared" si="3"/>
        <v>5.565654831</v>
      </c>
      <c r="R33" s="59"/>
    </row>
    <row r="34">
      <c r="A34" s="60"/>
      <c r="B34" s="61"/>
      <c r="C34" s="62">
        <f>SUM(Q2:Q32)</f>
        <v>5.565654831</v>
      </c>
      <c r="D34" s="63">
        <f>D33/C33</f>
        <v>0</v>
      </c>
      <c r="E34" s="63">
        <f>E33/C33</f>
        <v>0</v>
      </c>
      <c r="F34" s="63">
        <f>F33/C33</f>
        <v>0</v>
      </c>
      <c r="G34" s="63">
        <f>G33/C33</f>
        <v>0</v>
      </c>
      <c r="H34" s="63">
        <f>H33/C33</f>
        <v>0</v>
      </c>
      <c r="I34" s="63">
        <f>I33/C33</f>
        <v>0.3648648649</v>
      </c>
      <c r="J34" s="63">
        <f>J33/C33</f>
        <v>0</v>
      </c>
      <c r="K34" s="63">
        <f>K33/C33</f>
        <v>0</v>
      </c>
      <c r="L34" s="63">
        <f>L33/C33</f>
        <v>0.2702702703</v>
      </c>
      <c r="M34" s="63">
        <f>M33/C33</f>
        <v>0</v>
      </c>
      <c r="N34" s="63">
        <f>N33/C33</f>
        <v>0</v>
      </c>
      <c r="O34" s="63">
        <f>O33/C33</f>
        <v>0</v>
      </c>
      <c r="P34" s="64">
        <f>P33/C33</f>
        <v>0.6351351351</v>
      </c>
      <c r="Q34" s="65"/>
      <c r="R34" s="63"/>
    </row>
  </sheetData>
  <mergeCells count="2">
    <mergeCell ref="A33:B34"/>
    <mergeCell ref="P34:Q3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